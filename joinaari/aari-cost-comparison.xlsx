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Comparison" state="visible" r:id="rId4"/>
  </sheets>
  <calcPr calcId="171027"/>
</workbook>
</file>

<file path=xl/sharedStrings.xml><?xml version="1.0" encoding="utf-8"?>
<sst xmlns="http://schemas.openxmlformats.org/spreadsheetml/2006/main" count="32" uniqueCount="28">
  <si>
    <t>Real Estate Agent Cost Comparison</t>
  </si>
  <si>
    <t>Edit the yellow cells to see your numbers.</t>
  </si>
  <si>
    <t>Deal Assumptions</t>
  </si>
  <si>
    <t>Average sale price</t>
  </si>
  <si>
    <t>Commission rate</t>
  </si>
  <si>
    <t>Deals per year</t>
  </si>
  <si>
    <t>Brokerage Costs</t>
  </si>
  <si>
    <t>Your Brokerage</t>
  </si>
  <si>
    <t>Aari Realty</t>
  </si>
  <si>
    <t>Agent split</t>
  </si>
  <si>
    <t>Monthly fee</t>
  </si>
  <si>
    <t>E&amp;O / compliance (annual)</t>
  </si>
  <si>
    <t>Transaction fee (per deal)</t>
  </si>
  <si>
    <t>Franchise fee (% of gross)</t>
  </si>
  <si>
    <t>Technology fee (monthly)</t>
  </si>
  <si>
    <t>Per-Deal Breakdown</t>
  </si>
  <si>
    <t>Gross commission</t>
  </si>
  <si>
    <t>After split</t>
  </si>
  <si>
    <t>Franchise fee</t>
  </si>
  <si>
    <t>Net per deal</t>
  </si>
  <si>
    <t>Annual Summary</t>
  </si>
  <si>
    <t>Total deal income</t>
  </si>
  <si>
    <t>Monthly fees (×12)</t>
  </si>
  <si>
    <t>E&amp;O / compliance</t>
  </si>
  <si>
    <t>Total annual fees</t>
  </si>
  <si>
    <t>Annual take-home</t>
  </si>
  <si>
    <t>You keep more at Aari</t>
  </si>
  <si>
    <t>Aari Realty LLC  ·  9160 Forum Corporate Pkwy, Suite 350, Fort Myers, FL 33905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</si>
</sst>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9" x14ac:knownFonts="1">
    <font>
      <color theme="1"/>
      <family val="2"/>
      <scheme val="minor"/>
      <sz val="11"/>
      <name val="Calibri"/>
    </font>
    <font>
      <b/>
      <sz val="16"/>
      <name val="Calibri"/>
    </font>
    <font>
      <i/>
      <color rgb="FF888888"/>
      <sz val="10"/>
      <name val="Calibri"/>
    </font>
    <font>
      <b/>
      <sz val="12"/>
      <name val="Calibri"/>
    </font>
    <font>
      <sz val="11"/>
      <name val="Calibri"/>
    </font>
    <font>
      <b/>
      <sz val="13"/>
      <name val="Calibri"/>
    </font>
    <font>
      <b/>
      <color rgb="FF2F6B46"/>
      <sz val="13"/>
      <name val="Calibri"/>
    </font>
    <font>
      <b/>
      <color rgb="FF2F6B46"/>
      <sz val="14"/>
      <name val="Calibri"/>
    </font>
    <font>
      <color rgb="FF999999"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DE7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41210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double">
        <color rgb="FF14121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164" fontId="4" fillId="2" borderId="2" xfId="0" applyNumberFormat="1" applyFont="1" applyFill="1" applyBorder="1"/>
    <xf numFmtId="10" fontId="4" fillId="2" borderId="2" xfId="0" applyNumberFormat="1" applyFont="1" applyFill="1" applyBorder="1"/>
    <xf numFmtId="3" fontId="4" fillId="2" borderId="2" xfId="0" applyNumberFormat="1" applyFont="1" applyFill="1" applyBorder="1"/>
    <xf numFmtId="0" fontId="3" fillId="0" borderId="1" xfId="0" applyFont="1" applyBorder="1" applyAlignment="1">
      <alignment horizontal="center"/>
    </xf>
    <xf numFmtId="10" fontId="4" fillId="0" borderId="2" xfId="0" applyNumberFormat="1" applyFont="1" applyBorder="1"/>
    <xf numFmtId="164" fontId="4" fillId="0" borderId="2" xfId="0" applyNumberFormat="1" applyFont="1" applyBorder="1"/>
    <xf numFmtId="0" fontId="5" fillId="0" borderId="0" xfId="0" applyFont="1"/>
    <xf numFmtId="164" fontId="5" fillId="0" borderId="3" xfId="0" applyNumberFormat="1" applyFont="1" applyBorder="1"/>
    <xf numFmtId="0" fontId="6" fillId="0" borderId="0" xfId="0" applyFont="1"/>
    <xf numFmtId="164" fontId="7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FormatPr defaultRowHeight="15" outlineLevelRow="0" outlineLevelCol="0" x14ac:dyDescent="55"/>
  <cols>
    <col min="1" max="1" width="28" customWidth="1"/>
    <col min="2" max="4" width="2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 s="4"/>
    </row>
    <row r="5" spans="1:2" x14ac:dyDescent="0.25">
      <c r="A5" s="5" t="s">
        <v>3</v>
      </c>
      <c r="B5" s="6">
        <v>400000</v>
      </c>
    </row>
    <row r="6" spans="1:2" x14ac:dyDescent="0.25">
      <c r="A6" s="5" t="s">
        <v>4</v>
      </c>
      <c r="B6" s="7">
        <v>0.03</v>
      </c>
    </row>
    <row r="7" spans="1:2" x14ac:dyDescent="0.25">
      <c r="A7" s="5" t="s">
        <v>5</v>
      </c>
      <c r="B7" s="8">
        <v>12</v>
      </c>
    </row>
    <row r="9" spans="1:3" x14ac:dyDescent="0.25">
      <c r="A9" s="3" t="s">
        <v>6</v>
      </c>
      <c r="B9" s="9" t="s">
        <v>7</v>
      </c>
      <c r="C9" s="9" t="s">
        <v>8</v>
      </c>
    </row>
    <row r="10" spans="1:3" x14ac:dyDescent="0.25">
      <c r="A10" s="5" t="s">
        <v>9</v>
      </c>
      <c r="B10" s="7">
        <v>0.7</v>
      </c>
      <c r="C10" s="10">
        <v>1</v>
      </c>
    </row>
    <row r="11" spans="1:3" x14ac:dyDescent="0.25">
      <c r="A11" s="5" t="s">
        <v>10</v>
      </c>
      <c r="B11" s="6">
        <v>200</v>
      </c>
      <c r="C11" s="11">
        <v>99</v>
      </c>
    </row>
    <row r="12" spans="1:3" x14ac:dyDescent="0.25">
      <c r="A12" s="5" t="s">
        <v>11</v>
      </c>
      <c r="B12" s="6">
        <v>500</v>
      </c>
      <c r="C12" s="11">
        <v>199</v>
      </c>
    </row>
    <row r="13" spans="1:3" x14ac:dyDescent="0.25">
      <c r="A13" s="5" t="s">
        <v>12</v>
      </c>
      <c r="B13" s="6">
        <v>400</v>
      </c>
      <c r="C13" s="11">
        <v>499</v>
      </c>
    </row>
    <row r="14" spans="1:3" x14ac:dyDescent="0.25">
      <c r="A14" s="5" t="s">
        <v>13</v>
      </c>
      <c r="B14" s="7">
        <v>0.06</v>
      </c>
      <c r="C14" s="10">
        <v>0</v>
      </c>
    </row>
    <row r="15" spans="1:3" x14ac:dyDescent="0.25">
      <c r="A15" s="5" t="s">
        <v>14</v>
      </c>
      <c r="B15" s="6">
        <v>50</v>
      </c>
      <c r="C15" s="11">
        <v>0</v>
      </c>
    </row>
    <row r="17" spans="1:3" x14ac:dyDescent="0.25">
      <c r="A17" s="3" t="s">
        <v>15</v>
      </c>
      <c r="B17" s="9" t="s">
        <v>7</v>
      </c>
      <c r="C17" s="9" t="s">
        <v>8</v>
      </c>
    </row>
    <row r="18" spans="1:3" x14ac:dyDescent="0.25">
      <c r="A18" s="5" t="s">
        <v>16</v>
      </c>
      <c r="B18" s="11">
        <f>B5*B6</f>
      </c>
      <c r="C18" s="11">
        <f>B5*B6</f>
      </c>
    </row>
    <row r="19" spans="1:3" x14ac:dyDescent="0.25">
      <c r="A19" s="5" t="s">
        <v>17</v>
      </c>
      <c r="B19" s="11">
        <f>B18*B10</f>
      </c>
      <c r="C19" s="11">
        <f>C18*C10</f>
      </c>
    </row>
    <row r="20" spans="1:3" x14ac:dyDescent="0.25">
      <c r="A20" s="5" t="s">
        <v>18</v>
      </c>
      <c r="B20" s="11">
        <f>B18*B14</f>
      </c>
      <c r="C20" s="11">
        <f>C18*C14</f>
      </c>
    </row>
    <row r="21" spans="1:3" x14ac:dyDescent="0.25">
      <c r="A21" s="12" t="s">
        <v>19</v>
      </c>
      <c r="B21" s="13">
        <f>B19-B20-B13</f>
      </c>
      <c r="C21" s="13">
        <f>C19-C20-C13</f>
      </c>
    </row>
    <row r="23" spans="1:3" x14ac:dyDescent="0.25">
      <c r="A23" s="3" t="s">
        <v>20</v>
      </c>
      <c r="B23" s="9" t="s">
        <v>7</v>
      </c>
      <c r="C23" s="9" t="s">
        <v>8</v>
      </c>
    </row>
    <row r="24" spans="1:3" x14ac:dyDescent="0.25">
      <c r="A24" s="5" t="s">
        <v>21</v>
      </c>
      <c r="B24" s="11">
        <f>B21*B7</f>
      </c>
      <c r="C24" s="11">
        <f>C21*B7</f>
      </c>
    </row>
    <row r="25" spans="1:3" x14ac:dyDescent="0.25">
      <c r="A25" s="5" t="s">
        <v>22</v>
      </c>
      <c r="B25" s="11">
        <f>(B11+B15)*12</f>
      </c>
      <c r="C25" s="11">
        <f>(C11+C15)*12</f>
      </c>
    </row>
    <row r="26" spans="1:3" x14ac:dyDescent="0.25">
      <c r="A26" s="5" t="s">
        <v>23</v>
      </c>
      <c r="B26" s="11">
        <f>B12</f>
      </c>
      <c r="C26" s="11">
        <f>C12</f>
      </c>
    </row>
    <row r="27" spans="1:3" x14ac:dyDescent="0.25">
      <c r="A27" s="5" t="s">
        <v>24</v>
      </c>
      <c r="B27" s="11">
        <f>B25+B26</f>
      </c>
      <c r="C27" s="11">
        <f>C25+C26</f>
      </c>
    </row>
    <row r="28" spans="1:3" x14ac:dyDescent="0.25">
      <c r="A28" s="12" t="s">
        <v>25</v>
      </c>
      <c r="B28" s="13">
        <f>B24-B27</f>
      </c>
      <c r="C28" s="13">
        <f>C24-C27</f>
      </c>
    </row>
    <row r="30" spans="1:3" x14ac:dyDescent="0.25">
      <c r="A30" s="14" t="s">
        <v>26</v>
      </c>
      <c r="C30" s="15">
        <f>C28-B28</f>
      </c>
    </row>
    <row r="32" spans="1:4" x14ac:dyDescent="0.25">
      <c r="A32" s="16" t="s">
        <v>27</v>
      </c>
      <c r="B32" s="16"/>
      <c r="C32" s="16"/>
      <c r="D32" s="16"/>
    </row>
  </sheetData>
  <mergeCells count="3">
    <mergeCell ref="A1:D1"/>
    <mergeCell ref="A2:D2"/>
    <mergeCell ref="A32:D32"/>
  </mergeCells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 Realty LLC</dc:creator>
  <dc:title/>
  <dc:subject/>
  <dc:description/>
  <cp:keywords/>
  <cp:category/>
  <cp:lastModifiedBy>Unknown</cp:lastModifiedBy>
  <dcterms:created xsi:type="dcterms:W3CDTF">2026-09-19T22:13:17Z</dcterms:created>
  <dcterms:modified xsi:type="dcterms:W3CDTF">2026-09-19T22:13:17Z</dcterms:modified>
</cp:coreProperties>
</file>